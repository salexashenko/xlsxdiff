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8ad133472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f2ed987d6a4499"/>
    <x:sheet xmlns:r="http://schemas.openxmlformats.org/officeDocument/2006/relationships" name="Assumptions" sheetId="2" r:id="R77bdc66802464a58"/>
    <x:sheet xmlns:r="http://schemas.openxmlformats.org/officeDocument/2006/relationships" name="Capex_Model" sheetId="3" r:id="R65feb11e0a6b415e"/>
    <x:sheet xmlns:r="http://schemas.openxmlformats.org/officeDocument/2006/relationships" name="Sources" sheetId="4" r:id="R9578b594367f4741"/>
    <x:sheet xmlns:r="http://schemas.openxmlformats.org/officeDocument/2006/relationships" name="Checks" sheetId="5" r:id="R39513cec56d8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"/>
    <x:numFmt numFmtId="201" formatCode="0.0%"/>
    <x:numFmt numFmtId="202" formatCode="@"/>
    <x:numFmt numFmtId="203" formatCode="$#,##0"/>
    <x:numFmt numFmtId="204" formatCode="0.0x"/>
    <x:numFmt numFmtId="205" formatCode="0.0"/>
    <x:numFmt numFmtId="206" formatCode="0.000"/>
  </x:numFmts>
  <x:fonts count="11">
    <x:font>
      <x:sz val="11"/>
      <x:name val="Carlito"/>
    </x:font>
    <x:font>
      <x:b/>
      <x:sz val="16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sz val="11"/>
      <x:color rgb="334155"/>
      <x:name val="Carlito"/>
    </x:font>
    <x:font>
      <x:b/>
      <x:sz val="11"/>
      <x:color rgb="17324D"/>
      <x:name val="Carlito"/>
    </x:font>
    <x:font>
      <x:b/>
      <x:sz val="14"/>
      <x:name val="Carlito"/>
    </x:font>
    <x:font>
      <x:b/>
      <x:sz val="11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sz val="11"/>
      <x:color rgb="7C2D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EF2F6"/>
      </x:patternFill>
    </x:fill>
    <x:fill>
      <x:patternFill patternType="solid">
        <x:fgColor rgb="EAF3E8"/>
      </x:patternFill>
    </x:fill>
    <x:fill>
      <x:patternFill patternType="solid">
        <x:fgColor rgb="F5F7FA"/>
      </x:patternFill>
    </x:fill>
    <x:fill>
      <x:patternFill patternType="solid">
        <x:fgColor rgb="DCEAF7"/>
      </x:patternFill>
    </x:fill>
    <x:fill>
      <x:patternFill patternType="solid">
        <x:fgColor rgb="FDECC8"/>
      </x:patternFill>
    </x:fill>
    <x:fill>
      <x:patternFill patternType="solid">
        <x:fgColor rgb="FFF7ED"/>
      </x:patternFill>
    </x:fill>
  </x:fills>
  <x:borders count="12">
    <x:border/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B8C2CC"/>
      </x:left>
      <x:top style="thin">
        <x:color rgb="B8C2CC"/>
      </x:top>
    </x:border>
    <x:border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7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right"/>
    </x:xf>
    <x:xf numFmtId="0" fontId="7" fillId="0" borderId="7" xfId="0" applyNumberFormat="1" applyFont="1" applyFill="1" applyBorder="1"/>
    <x:xf numFmtId="0" fontId="7" fillId="0" borderId="9" xfId="0" applyNumberFormat="1" applyFont="1" applyFill="1" applyBorder="1"/>
    <x:xf numFmtId="0" fontId="9" fillId="0" borderId="10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9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wrapText="1"/>
    </x:xf>
    <x:xf numFmtId="0" fontId="10" fillId="8" borderId="1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horizontal="center"/>
    </x:xf>
    <x:xf numFmtId="200" fontId="6" fillId="5" borderId="2" xfId="0" applyNumberFormat="1" applyFont="1" applyFill="1" applyBorder="1" applyAlignment="1">
      <x:alignment horizontal="center"/>
    </x:xf>
    <x:xf numFmtId="201" fontId="6" fillId="5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5" fillId="6" borderId="0" xfId="0" applyNumberFormat="1" applyFont="1" applyFill="1" applyBorder="1" applyAlignment="1">
      <x:alignment horizontal="center" wrapText="1"/>
    </x:xf>
    <x:xf numFmtId="200" fontId="0" fillId="0" borderId="10" xfId="0" applyNumberFormat="1" applyFont="1" applyFill="1" applyBorder="1"/>
    <x:xf numFmtId="201" fontId="0" fillId="0" borderId="8" xfId="0" applyNumberFormat="1" applyFont="1" applyFill="1" applyBorder="1"/>
    <x:xf numFmtId="201" fontId="0" fillId="0" borderId="10" xfId="0" applyNumberFormat="1" applyFont="1" applyFill="1" applyBorder="1"/>
    <x:xf numFmtId="202" fontId="0" fillId="0" borderId="11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1" fontId="8" fillId="0" borderId="0" xfId="0" applyNumberFormat="1" applyFont="1" applyFill="1" applyBorder="1"/>
    <x:xf numFmtId="203" fontId="8" fillId="0" borderId="10" xfId="0" applyNumberFormat="1" applyFont="1" applyFill="1" applyBorder="1"/>
    <x:xf numFmtId="200" fontId="8" fillId="0" borderId="0" xfId="0" applyNumberFormat="1" applyFont="1" applyFill="1" applyBorder="1"/>
    <x:xf numFmtId="200" fontId="8" fillId="0" borderId="10" xfId="0" applyNumberFormat="1" applyFont="1" applyFill="1" applyBorder="1"/>
    <x:xf numFmtId="201" fontId="8" fillId="0" borderId="1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201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 applyAlignment="1">
      <x:alignment horizontal="right"/>
    </x:xf>
    <x:xf numFmtId="205" fontId="9" fillId="0" borderId="0" xfId="0" applyNumberFormat="1" applyFont="1" applyFill="1" applyBorder="1" applyAlignment="1">
      <x:alignment horizontal="right"/>
    </x:xf>
    <x:xf numFmtId="200" fontId="9" fillId="0" borderId="10" xfId="0" applyNumberFormat="1" applyFont="1" applyFill="1" applyBorder="1" applyAlignment="1">
      <x:alignment horizontal="right"/>
    </x:xf>
    <x:xf numFmtId="206" fontId="0" fillId="0" borderId="0" xfId="0" applyNumberFormat="1" applyFont="1" applyFill="1" applyBorder="1"/>
    <x:xf numFmtId="206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89665e295406a" /><Relationship Type="http://schemas.openxmlformats.org/officeDocument/2006/relationships/theme" Target="/xl/theme/theme1.xml" Id="R2ef5739a59594a32" /><Relationship Type="http://schemas.openxmlformats.org/officeDocument/2006/relationships/sharedStrings" Target="/xl/sharedStrings.xml" Id="R3ec8d333cf804e8e" /><Relationship Type="http://schemas.openxmlformats.org/officeDocument/2006/relationships/worksheet" Target="/xl/worksheets/sheet1.xml" Id="R79f2ed987d6a4499" /><Relationship Type="http://schemas.openxmlformats.org/officeDocument/2006/relationships/worksheet" Target="/xl/worksheets/sheet2.xml" Id="R77bdc66802464a58" /><Relationship Type="http://schemas.openxmlformats.org/officeDocument/2006/relationships/worksheet" Target="/xl/worksheets/sheet3.xml" Id="R65feb11e0a6b415e" /><Relationship Type="http://schemas.openxmlformats.org/officeDocument/2006/relationships/worksheet" Target="/xl/worksheets/sheet4.xml" Id="R9578b594367f4741" /><Relationship Type="http://schemas.openxmlformats.org/officeDocument/2006/relationships/worksheet" Target="/xl/worksheets/sheet5.xml" Id="R39513cec56d846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5c2be9ffca4af3" /><Relationship Type="http://schemas.openxmlformats.org/officeDocument/2006/relationships/chart" Target="/xl/drawings/charts/chart2.xml" Id="R04a6fcb995274b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Supportable hyperscaler capex by lab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2026E</c:v>
          </c:tx>
          <c:cat>
            <c:strLit>
              <c:ptCount val="2"/>
              <c:pt idx="0">
                <c:v>OpenAI</c:v>
              </c:pt>
              <c:pt idx="1">
                <c:v>Anthropic</c:v>
              </c:pt>
            </c:strLit>
          </c:cat>
          <c:val>
            <c:numLit>
              <c:formatCode/>
              <c:ptCount val="2"/>
              <c:pt idx="0">
                <c:v>78.75936</c:v>
              </c:pt>
              <c:pt idx="1">
                <c:v>128.57581439999998</c:v>
              </c:pt>
            </c:numLit>
          </c:val>
        </c:ser>
        <c:ser>
          <c:idx val="1"/>
          <c:order val="1"/>
          <c:tx>
            <c:v>2027E</c:v>
          </c:tx>
          <c:cat>
            <c:strLit>
              <c:ptCount val="2"/>
              <c:pt idx="0">
                <c:v>OpenAI</c:v>
              </c:pt>
              <c:pt idx="1">
                <c:v>Anthropic</c:v>
              </c:pt>
            </c:strLit>
          </c:cat>
          <c:val>
            <c:numLit>
              <c:formatCode/>
              <c:ptCount val="2"/>
              <c:pt idx="0">
                <c:v>138.68496</c:v>
              </c:pt>
              <c:pt idx="1">
                <c:v>205.02252144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Supported capex vs market benchmark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Supported by OpenAI + Anthropic</c:v>
          </c:tx>
          <c:cat>
            <c:numLit>
              <c:formatCode/>
              <c:ptCount val="2"/>
              <c:pt idx="0">
                <c:v>2026</c:v>
              </c:pt>
              <c:pt idx="1">
                <c:v>2027</c:v>
              </c:pt>
            </c:numLit>
          </c:cat>
          <c:val>
            <c:numLit>
              <c:formatCode/>
              <c:ptCount val="2"/>
              <c:pt idx="0">
                <c:v>207.33517439999997</c:v>
              </c:pt>
              <c:pt idx="1">
                <c:v>343.70748144</c:v>
              </c:pt>
            </c:numLit>
          </c:val>
        </c:ser>
        <c:ser>
          <c:idx val="1"/>
          <c:order val="1"/>
          <c:tx>
            <c:v>Total hyperscaler capex market</c:v>
          </c:tx>
          <c:cat>
            <c:numLit>
              <c:formatCode/>
              <c:ptCount val="2"/>
              <c:pt idx="0">
                <c:v>2026</c:v>
              </c:pt>
              <c:pt idx="1">
                <c:v>2027</c:v>
              </c:pt>
            </c:numLit>
          </c:cat>
          <c:val>
            <c:numLit>
              <c:formatCode/>
              <c:ptCount val="2"/>
              <c:pt idx="0">
                <c:v>725</c:v>
              </c:pt>
              <c:pt idx="1">
                <c:v>1000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1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21</xdr:row>
      <xdr:rowOff>0</xdr:rowOff>
    </xdr:from>
    <xdr:ext cx="4953000" cy="2571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5c2be9ffca4af3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4953000" cy="2571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a6fcb995274b2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376237fd1c4b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20.25" hidden="0" customWidth="1"/>
    <x:col min="3" max="3" width="20.25" hidden="0" customWidth="1"/>
    <x:col min="4" max="4" width="19.6299991607666" hidden="0" customWidth="1"/>
    <x:col min="5" max="5" width="17.790000915527344" hidden="0" customWidth="1"/>
    <x:col min="6" max="6" width="26.3799991607666" hidden="0" customWidth="1"/>
    <x:col min="7" max="7" width="14.109999656677246" hidden="0" customWidth="1"/>
    <x:col min="8" max="8" width="14.109999656677246" hidden="0" customWidth="1"/>
    <x:col min="9" max="9" width="14.109999656677246" hidden="0" customWidth="1"/>
    <x:col min="10" max="10" width="14.109999656677246" hidden="0" customWidth="1"/>
  </x:cols>
  <x:sheetData>
    <x:row r="1" ht="48" hidden="0" customHeight="1">
      <x:c r="A1" s="61" t="str">
        <x:v>AI ARR -&gt; Hyperscaler Capex Support</x:v>
      </x:c>
      <x:c r="B1" s="61" t="str"/>
      <x:c r="C1" s="61" t="str"/>
      <x:c r="D1" s="61" t="str"/>
      <x:c r="E1" s="61" t="str"/>
      <x:c r="F1" s="61" t="str"/>
      <x:c r="G1" s="61" t="str"/>
      <x:c r="H1" s="61" t="str"/>
      <x:c r="I1" s="61" t="str"/>
      <x:c r="J1" s="61" t="str"/>
      <x:c r="K1" s="6"/>
    </x:row>
    <x:row r="3">
      <x:c r="A3" s="9" t="str">
        <x:v>Model version: v2 May update. Currency in $B unless noted. Run-rate/ARR figures are source-backed public estimates or scenario assumptions.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</x:row>
    <x:row r="5">
      <x:c r="A5" s="18" t="str">
        <x:v>Combined supportable capex 2026E</x:v>
      </x:c>
      <x:c r="B5" s="19" t="str">
        <x:v>Combined supportable capex 2027E</x:v>
      </x:c>
      <x:c r="C5" s="19" t="str">
        <x:v>2026 market coverage</x:v>
      </x:c>
      <x:c r="D5" s="19" t="str">
        <x:v>2027 market coverage</x:v>
      </x:c>
      <x:c r="E5" s="20" t="str">
        <x:v>Model status</x:v>
      </x:c>
    </x:row>
    <x:row r="6">
      <x:c r="A6" s="67" t="n">
        <x:f>Capex_Model!F11</x:f>
        <x:v>207.33517440000003</x:v>
      </x:c>
      <x:c r="B6" s="68" t="n">
        <x:f>Capex_Model!G11</x:f>
        <x:v>343.70748144</x:v>
      </x:c>
      <x:c r="C6" s="69" t="n">
        <x:f>Capex_Model!F13</x:f>
        <x:v>0.28597955089655175</x:v>
      </x:c>
      <x:c r="D6" s="69" t="n">
        <x:f>Capex_Model!G13</x:f>
        <x:v>0.34370748143999996</x:v>
      </x:c>
      <x:c r="E6" s="28" t="str">
        <x:f>Checks!F8</x:f>
        <x:v>OK</x:v>
      </x:c>
    </x:row>
    <x:row r="7">
      <x:c r="A7" t="str"/>
      <x:c r="B7" t="str"/>
      <x:c r="C7" t="str"/>
      <x:c r="D7" t="str"/>
      <x:c r="E7" t="str"/>
    </x:row>
    <x:row r="10">
      <x:c r="A10" s="36" t="str">
        <x:v>Company</x:v>
      </x:c>
      <x:c r="B10" s="37" t="str">
        <x:v>2026E ARR</x:v>
      </x:c>
      <x:c r="C10" s="37" t="str">
        <x:v>2027E ARR</x:v>
      </x:c>
      <x:c r="D10" s="37" t="str">
        <x:v>2026 supportable capex</x:v>
      </x:c>
      <x:c r="E10" s="37" t="str">
        <x:v>2027 supportable capex</x:v>
      </x:c>
      <x:c r="F10" s="38" t="str">
        <x:v>2027 support / market</x:v>
      </x:c>
    </x:row>
    <x:row r="11">
      <x:c r="A11" s="39" t="str">
        <x:f>"OpenAI"</x:f>
        <x:v>OpenAI</x:v>
      </x:c>
      <x:c r="B11" s="70" t="n">
        <x:f>Capex_Model!B5</x:f>
        <x:v>40</x:v>
      </x:c>
      <x:c r="C11" s="70" t="n">
        <x:f>Capex_Model!C5</x:f>
        <x:v>72</x:v>
      </x:c>
      <x:c r="D11" s="70" t="n">
        <x:f>Capex_Model!B11</x:f>
        <x:v>78.75936</x:v>
      </x:c>
      <x:c r="E11" s="70" t="n">
        <x:f>Capex_Model!C11</x:f>
        <x:v>138.68496</x:v>
      </x:c>
      <x:c r="F11" s="73" t="n">
        <x:f>Capex_Model!C13</x:f>
        <x:v>0.13868496</x:v>
      </x:c>
    </x:row>
    <x:row r="12">
      <x:c r="A12" s="39" t="str">
        <x:f>"Anthropic"</x:f>
        <x:v>Anthropic</x:v>
      </x:c>
      <x:c r="B12" s="70" t="n">
        <x:f>Capex_Model!D5</x:f>
        <x:v>51.9</x:v>
      </x:c>
      <x:c r="C12" s="70" t="n">
        <x:f>Capex_Model!E5</x:f>
        <x:v>84.597</x:v>
      </x:c>
      <x:c r="D12" s="70" t="n">
        <x:f>Capex_Model!D11</x:f>
        <x:v>128.5758144</x:v>
      </x:c>
      <x:c r="E12" s="70" t="n">
        <x:f>Capex_Model!E11</x:f>
        <x:v>205.02252144</x:v>
      </x:c>
      <x:c r="F12" s="73" t="n">
        <x:f>Capex_Model!E13</x:f>
        <x:v>0.20502252144</x:v>
      </x:c>
    </x:row>
    <x:row r="13">
      <x:c r="A13" s="39"/>
      <x:c r="B13" s="70"/>
      <x:c r="C13" s="70"/>
      <x:c r="D13" s="70"/>
      <x:c r="E13" s="70"/>
      <x:c r="F13" s="41"/>
    </x:row>
    <x:row r="14">
      <x:c r="A14" s="42" t="str">
        <x:v>Readout</x:v>
      </x:c>
      <x:c r="B14" s="71" t="str">
        <x:v>2026E</x:v>
      </x:c>
      <x:c r="C14" s="71" t="str">
        <x:v>2027E</x:v>
      </x:c>
      <x:c r="D14" s="71" t="str">
        <x:v>Market benchmark</x:v>
      </x:c>
      <x:c r="E14" s="71" t="str">
        <x:v>Coverage</x:v>
      </x:c>
      <x:c r="F14" s="43" t="str">
        <x:v>Implication</x:v>
      </x:c>
    </x:row>
    <x:row r="15">
      <x:c r="A15" s="44" t="str">
        <x:f>"Combined"</x:f>
        <x:v>Combined</x:v>
      </x:c>
      <x:c r="B15" s="72" t="n">
        <x:f>Capex_Model!F11</x:f>
        <x:v>207.33517440000003</x:v>
      </x:c>
      <x:c r="C15" s="72" t="n">
        <x:f>Capex_Model!G11</x:f>
        <x:v>343.70748144</x:v>
      </x:c>
      <x:c r="D15" s="72" t="n">
        <x:f>Capex_Model!G12</x:f>
        <x:v>1000</x:v>
      </x:c>
      <x:c r="E15" s="74" t="n">
        <x:f>Capex_Model!G13</x:f>
        <x:v>0.34370748143999996</x:v>
      </x:c>
      <x:c r="F15" s="75" t="str">
        <x:f>"These two labs support "&amp;ROUND(Capex_Model!G13*100,1)&amp;"% of modeled 2027 hyperscaler capex."</x:f>
        <x:v>These two labs support 34.4% of modeled 2027 hyperscaler capex.</x:v>
      </x:c>
    </x:row>
    <x:row r="18">
      <x:c r="A18" s="35" t="str">
        <x:v>Company</x:v>
      </x:c>
      <x:c r="B18" s="35" t="str">
        <x:v>2026 supportable capex</x:v>
      </x:c>
      <x:c r="C18" s="35" t="str">
        <x:v>2027 supportable capex</x:v>
      </x:c>
      <x:c r="E18" s="35" t="str">
        <x:v>Benchmark</x:v>
      </x:c>
      <x:c r="F18" s="35" t="str">
        <x:v>2026</x:v>
      </x:c>
      <x:c r="G18" s="35" t="str">
        <x:v>2027</x:v>
      </x:c>
    </x:row>
    <x:row r="19">
      <x:c r="A19" t="str">
        <x:v>OpenAI</x:v>
      </x:c>
      <x:c r="B19" s="70" t="n">
        <x:f>D11</x:f>
        <x:v>78.75936</x:v>
      </x:c>
      <x:c r="C19" s="70" t="n">
        <x:f>E11</x:f>
        <x:v>138.68496</x:v>
      </x:c>
      <x:c r="E19" t="str">
        <x:v>Supported by OpenAI + Anthropic</x:v>
      </x:c>
      <x:c r="F19" s="70" t="n">
        <x:f>A6</x:f>
        <x:v>207.33517440000003</x:v>
      </x:c>
      <x:c r="G19" s="70" t="n">
        <x:f>B6</x:f>
        <x:v>343.70748144</x:v>
      </x:c>
    </x:row>
    <x:row r="20">
      <x:c r="A20" t="str">
        <x:v>Anthropic</x:v>
      </x:c>
      <x:c r="B20" s="70" t="n">
        <x:f>D12</x:f>
        <x:v>128.5758144</x:v>
      </x:c>
      <x:c r="C20" s="70" t="n">
        <x:f>E12</x:f>
        <x:v>205.02252144</x:v>
      </x:c>
      <x:c r="E20" t="str">
        <x:v>Total hyperscaler capex market</x:v>
      </x:c>
      <x:c r="F20" s="70" t="n">
        <x:f>Capex_Model!F12</x:f>
        <x:v>725</x:v>
      </x:c>
      <x:c r="G20" s="70" t="n">
        <x:f>Capex_Model!G12</x:f>
        <x:v>1000</x:v>
      </x:c>
    </x:row>
  </x:sheetData>
  <x:pageMargins left="0.7" right="0.7" top="0.75" bottom="0.75" header="0.3" footer="0.3"/>
  <x:drawing xmlns:r="http://schemas.openxmlformats.org/officeDocument/2006/relationships" r:id="R79376237fd1c4bc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219999313354492" hidden="0" customWidth="1"/>
    <x:col min="2" max="2" width="11.65999984741211" hidden="0" customWidth="1"/>
    <x:col min="3" max="3" width="11.65999984741211" hidden="0" customWidth="1"/>
    <x:col min="4" max="4" width="15.34000015258789" hidden="0" customWidth="1"/>
    <x:col min="5" max="5" width="15.34000015258789" hidden="0" customWidth="1"/>
    <x:col min="6" max="6" width="15.34000015258789" hidden="0" customWidth="1"/>
    <x:col min="7" max="7" width="16.559999465942383" hidden="0" customWidth="1"/>
    <x:col min="8" max="8" width="43.560001373291016" hidden="0" customWidth="1"/>
  </x:cols>
  <x:sheetData>
    <x:row r="1" ht="72" hidden="0" customHeight="1">
      <x:c r="A1" s="61" t="str">
        <x:v>AI ARR and Hyperscaler Capex Support Model</x:v>
      </x:c>
      <x:c r="B1" s="61" t="str"/>
      <x:c r="C1" s="61" t="str"/>
      <x:c r="D1" s="61" t="str"/>
      <x:c r="E1" s="61" t="str"/>
      <x:c r="F1" s="61" t="str"/>
      <x:c r="G1" s="61" t="str"/>
      <x:c r="H1" s="61" t="str"/>
      <x:c r="I1" s="61"/>
      <x:c r="J1" s="61"/>
      <x:c r="K1" s="6"/>
    </x:row>
    <x:row r="3">
      <x:c r="A3" t="str">
        <x:v>Model version</x:v>
      </x:c>
      <x:c r="B3" t="str">
        <x:v>v2 May update</x:v>
      </x:c>
    </x:row>
    <x:row r="4">
      <x:c r="A4" t="str">
        <x:v>Source set</x:v>
      </x:c>
      <x:c r="B4" t="str">
        <x:v>May 2026 public update and Q1 capex reset</x:v>
      </x:c>
    </x:row>
    <x:row r="6">
      <x:c r="A6" s="36" t="str">
        <x:v>Global capex assumptions</x:v>
      </x:c>
      <x:c r="B6" s="37" t="str">
        <x:v>2026E</x:v>
      </x:c>
      <x:c r="C6" s="37" t="str">
        <x:v>2027E</x:v>
      </x:c>
      <x:c r="D6" s="37" t="str">
        <x:v>Unit</x:v>
      </x:c>
      <x:c r="E6" s="37" t="str">
        <x:v>Source ID</x:v>
      </x:c>
      <x:c r="F6" s="38" t="str">
        <x:v>Notes</x:v>
      </x:c>
    </x:row>
    <x:row r="7">
      <x:c r="A7" s="39" t="str">
        <x:v>Hyperscaler capex market</x:v>
      </x:c>
      <x:c r="B7" s="76" t="n">
        <x:v>725</x:v>
      </x:c>
      <x:c r="C7" s="76" t="n">
        <x:v>1000</x:v>
      </x:c>
      <x:c r="D7" s="40" t="str">
        <x:v>$B</x:v>
      </x:c>
      <x:c r="E7" s="40" t="str">
        <x:v>S5/S7</x:v>
      </x:c>
      <x:c r="F7" s="41" t="str">
        <x:v>2026 updated after Q1 earnings; 2027 aligns with trillion-dollar capex wave framing.</x:v>
      </x:c>
    </x:row>
    <x:row r="8">
      <x:c r="A8" s="39" t="str">
        <x:v>Capex support multiple</x:v>
      </x:c>
      <x:c r="B8" s="77" t="n">
        <x:v>4.5</x:v>
      </x:c>
      <x:c r="C8" s="77" t="n">
        <x:v>4.5</x:v>
      </x:c>
      <x:c r="D8" s="40" t="str">
        <x:v>x</x:v>
      </x:c>
      <x:c r="E8" s="40" t="str">
        <x:v>Analyst assumption</x:v>
      </x:c>
      <x:c r="F8" s="41" t="str">
        <x:v>Longer committed AI capacity contracts increase supportable capex multiple.</x:v>
      </x:c>
    </x:row>
    <x:row r="9">
      <x:c r="A9" s="39" t="str">
        <x:v>Capex realization factor</x:v>
      </x:c>
      <x:c r="B9" s="78" t="n">
        <x:v>0.92</x:v>
      </x:c>
      <x:c r="C9" s="78" t="n">
        <x:v>0.9</x:v>
      </x:c>
      <x:c r="D9" s="40" t="str">
        <x:v>%</x:v>
      </x:c>
      <x:c r="E9" s="40" t="str">
        <x:v>Analyst assumption</x:v>
      </x:c>
      <x:c r="F9" s="41" t="str">
        <x:v>Formula now haircuts capex support for gross margin, utilization, and delivery leakage.</x:v>
      </x:c>
    </x:row>
    <x:row r="10">
      <x:c r="A10" s="44" t="str">
        <x:v>All-in capex per GW equivalent</x:v>
      </x:c>
      <x:c r="B10" s="79" t="n">
        <x:v>50</x:v>
      </x:c>
      <x:c r="C10" s="79" t="n">
        <x:v>52</x:v>
      </x:c>
      <x:c r="D10" s="45" t="str">
        <x:v>$B/GW</x:v>
      </x:c>
      <x:c r="E10" s="45" t="str">
        <x:v>Analyst assumption</x:v>
      </x:c>
      <x:c r="F10" s="46" t="str">
        <x:v>Higher component and power bottleneck costs after Q1 earnings.</x:v>
      </x:c>
    </x:row>
    <x:row r="12">
      <x:c r="A12" s="36" t="str">
        <x:v>Company ARR and compute assumptions</x:v>
      </x:c>
      <x:c r="B12" s="37" t="str">
        <x:v>Anchor ARR</x:v>
      </x:c>
      <x:c r="C12" s="37" t="str">
        <x:v>Anchor source</x:v>
      </x:c>
      <x:c r="D12" s="37" t="str">
        <x:v>2026 exit growth</x:v>
      </x:c>
      <x:c r="E12" s="37" t="str">
        <x:v>2027 ARR growth</x:v>
      </x:c>
      <x:c r="F12" s="37" t="str">
        <x:v>Compute spend / ARR</x:v>
      </x:c>
      <x:c r="G12" s="37" t="str">
        <x:v>Hyperscaler-hosted share</x:v>
      </x:c>
      <x:c r="H12" s="38" t="str">
        <x:v>Model note</x:v>
      </x:c>
    </x:row>
    <x:row r="13">
      <x:c r="A13" s="39" t="str">
        <x:v>OpenAI</x:v>
      </x:c>
      <x:c r="B13" s="80" t="n">
        <x:v>25</x:v>
      </x:c>
      <x:c r="C13" s="47" t="str">
        <x:v>S1</x:v>
      </x:c>
      <x:c r="D13" s="78" t="n">
        <x:v>0.6</x:v>
      </x:c>
      <x:c r="E13" s="78" t="n">
        <x:v>0.8</x:v>
      </x:c>
      <x:c r="F13" s="78" t="n">
        <x:v>0.58</x:v>
      </x:c>
      <x:c r="G13" s="78" t="n">
        <x:v>0.82</x:v>
      </x:c>
      <x:c r="H13" s="41" t="str">
        <x:v>OpenAI remains anchored to public $25B pace; growth case revised for enterprise/ad monetization.</x:v>
      </x:c>
    </x:row>
    <x:row r="14">
      <x:c r="A14" s="44" t="str">
        <x:v>Anthropic</x:v>
      </x:c>
      <x:c r="B14" s="81" t="n">
        <x:v>30</x:v>
      </x:c>
      <x:c r="C14" s="48" t="str">
        <x:v>S2/S3</x:v>
      </x:c>
      <x:c r="D14" s="82" t="n">
        <x:v>0.73</x:v>
      </x:c>
      <x:c r="E14" s="82" t="n">
        <x:v>0.63</x:v>
      </x:c>
      <x:c r="F14" s="82" t="n">
        <x:v>0.68</x:v>
      </x:c>
      <x:c r="G14" s="82" t="n">
        <x:v>0.88</x:v>
      </x:c>
      <x:c r="H14" s="46" t="str">
        <x:v>Updated to official $30B+ run-rate and multiple-GW 2027 compute agreement.</x:v>
      </x:c>
    </x:row>
    <x:row r="16">
      <x:c r="A16" s="11" t="str">
        <x:v>Interpretation</x:v>
      </x:c>
      <x:c r="B16" s="11" t="str"/>
      <x:c r="C16" s="11" t="str"/>
      <x:c r="D16" s="11" t="str"/>
      <x:c r="E16" s="11" t="str"/>
      <x:c r="F16" s="11" t="str"/>
      <x:c r="G16" s="11" t="str"/>
      <x:c r="H16" s="11" t="str"/>
    </x:row>
    <x:row r="17">
      <x:c r="A17" t="str">
        <x:v>Supportable capex</x:v>
      </x:c>
      <x:c r="B17" t="str">
        <x:v>ARR x compute spend % x hyperscaler-hosted % x support multiple</x:v>
      </x:c>
      <x:c r="C17" t="str"/>
      <x:c r="D17" t="str"/>
      <x:c r="E17" t="str"/>
      <x:c r="F17" t="str"/>
      <x:c r="G17" t="str"/>
      <x:c r="H17" t="str">
        <x:v>Candidate formula adds a realization factor haircut.</x:v>
      </x:c>
    </x:row>
    <x:row r="18">
      <x:c r="A18" t="str">
        <x:v>Market coverage</x:v>
      </x:c>
      <x:c r="B18" t="str">
        <x:v>Supportable capex / total hyperscaler capex market</x:v>
      </x:c>
      <x:c r="C18" t="str"/>
      <x:c r="D18" t="str"/>
      <x:c r="E18" t="str"/>
      <x:c r="F18" t="str"/>
      <x:c r="G18" t="str"/>
      <x:c r="H18" t="str">
        <x:v>This shows share of global hyperscaler buildout plausibly underwritten by these two labs.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670000076293945" hidden="0" customWidth="1"/>
    <x:col min="2" max="2" width="14.720000267028809" hidden="0" customWidth="1"/>
    <x:col min="3" max="3" width="14.720000267028809" hidden="0" customWidth="1"/>
    <x:col min="4" max="4" width="15.949999809265137" hidden="0" customWidth="1"/>
    <x:col min="5" max="5" width="15.949999809265137" hidden="0" customWidth="1"/>
    <x:col min="6" max="6" width="14.109999656677246" hidden="0" customWidth="1"/>
    <x:col min="7" max="7" width="14.109999656677246" hidden="0" customWidth="1"/>
    <x:col min="8" max="8" width="43.560001373291016" hidden="0" customWidth="1"/>
  </x:cols>
  <x:sheetData>
    <x:row r="1" ht="36" hidden="0" customHeight="1">
      <x:c r="A1" s="61" t="str">
        <x:v>Capex support model</x:v>
      </x:c>
      <x:c r="B1" s="61" t="str"/>
      <x:c r="C1" s="61" t="str"/>
      <x:c r="D1" s="61" t="str"/>
      <x:c r="E1" s="61" t="str"/>
      <x:c r="F1" s="61" t="str"/>
      <x:c r="G1" s="61" t="str"/>
      <x:c r="H1" s="61" t="str"/>
      <x:c r="I1" s="61"/>
      <x:c r="J1" s="61"/>
      <x:c r="K1" s="6"/>
    </x:row>
    <x:row r="3">
      <x:c r="A3" s="36" t="str">
        <x:v>Metric</x:v>
      </x:c>
      <x:c r="B3" s="37" t="str">
        <x:v>OpenAI 2026E</x:v>
      </x:c>
      <x:c r="C3" s="37" t="str">
        <x:v>OpenAI 2027E</x:v>
      </x:c>
      <x:c r="D3" s="37" t="str">
        <x:v>Anthropic 2026E</x:v>
      </x:c>
      <x:c r="E3" s="37" t="str">
        <x:v>Anthropic 2027E</x:v>
      </x:c>
      <x:c r="F3" s="37" t="str">
        <x:v>Total 2026E</x:v>
      </x:c>
      <x:c r="G3" s="37" t="str">
        <x:v>Total 2027E</x:v>
      </x:c>
      <x:c r="H3" s="38" t="str">
        <x:v>Notes</x:v>
      </x:c>
    </x:row>
    <x:row r="4">
      <x:c r="A4" s="52" t="str">
        <x:v>Anchor ARR / prior-year ARR ($B)</x:v>
      </x:c>
      <x:c r="B4" s="83" t="n">
        <x:f>Assumptions!B13</x:f>
        <x:v>25</x:v>
      </x:c>
      <x:c r="C4" s="83" t="n">
        <x:f>B5</x:f>
        <x:v>40</x:v>
      </x:c>
      <x:c r="D4" s="83" t="n">
        <x:f>Assumptions!B14</x:f>
        <x:v>30</x:v>
      </x:c>
      <x:c r="E4" s="83" t="n">
        <x:f>D5</x:f>
        <x:v>51.9</x:v>
      </x:c>
      <x:c r="F4" s="83" t="n">
        <x:f>B4+D4</x:f>
        <x:v>55</x:v>
      </x:c>
      <x:c r="G4" s="83" t="n">
        <x:f>C4+E4</x:f>
        <x:v>91.9</x:v>
      </x:c>
      <x:c r="H4" s="41" t="str">
        <x:v>Anchored to public run-rate estimates and prior calculated ARR.</x:v>
      </x:c>
    </x:row>
    <x:row r="5">
      <x:c r="A5" s="52" t="str">
        <x:v>Exit ARR ($B)</x:v>
      </x:c>
      <x:c r="B5" s="83" t="n">
        <x:f>B4*(1+Assumptions!D13)</x:f>
        <x:v>40</x:v>
      </x:c>
      <x:c r="C5" s="83" t="n">
        <x:f>B5*(1+Assumptions!E13)</x:f>
        <x:v>72</x:v>
      </x:c>
      <x:c r="D5" s="83" t="n">
        <x:f>D4*(1+Assumptions!D14)</x:f>
        <x:v>51.9</x:v>
      </x:c>
      <x:c r="E5" s="83" t="n">
        <x:f>D5*(1+Assumptions!E14)</x:f>
        <x:v>84.597</x:v>
      </x:c>
      <x:c r="F5" s="83" t="n">
        <x:f>B5+D5</x:f>
        <x:v>91.9</x:v>
      </x:c>
      <x:c r="G5" s="83" t="n">
        <x:f>C5+E5</x:f>
        <x:v>156.59699999999998</x:v>
      </x:c>
      <x:c r="H5" s="41" t="str">
        <x:v>2026 exit ARR = anchor x growth; 2027 = 2026 ARR x 2027 growth.</x:v>
      </x:c>
    </x:row>
    <x:row r="6">
      <x:c r="A6" s="52" t="str">
        <x:v>Compute spend / ARR</x:v>
      </x:c>
      <x:c r="B6" s="84" t="n">
        <x:f>Assumptions!F13</x:f>
        <x:v>0.58</x:v>
      </x:c>
      <x:c r="C6" s="84" t="n">
        <x:f>Assumptions!F13</x:f>
        <x:v>0.58</x:v>
      </x:c>
      <x:c r="D6" s="84" t="n">
        <x:f>Assumptions!F14</x:f>
        <x:v>0.68</x:v>
      </x:c>
      <x:c r="E6" s="84" t="n">
        <x:f>Assumptions!F14</x:f>
        <x:v>0.68</x:v>
      </x:c>
      <x:c r="F6" s="84" t="n">
        <x:f>B8/F5</x:f>
        <x:v>0.20700761697497275</x:v>
      </x:c>
      <x:c r="G6" s="84" t="n">
        <x:f>C8/G5</x:f>
        <x:v>0.21867085576352036</x:v>
      </x:c>
      <x:c r="H6" s="41" t="str">
        <x:v>Input assumption; intended to proxy inference/training cloud spend as a share of ARR.</x:v>
      </x:c>
    </x:row>
    <x:row r="7">
      <x:c r="A7" s="52" t="str">
        <x:v>Hyperscaler-hosted share</x:v>
      </x:c>
      <x:c r="B7" s="84" t="n">
        <x:f>Assumptions!G13</x:f>
        <x:v>0.82</x:v>
      </x:c>
      <x:c r="C7" s="84" t="n">
        <x:f>Assumptions!G13</x:f>
        <x:v>0.82</x:v>
      </x:c>
      <x:c r="D7" s="84" t="n">
        <x:f>Assumptions!G14</x:f>
        <x:v>0.88</x:v>
      </x:c>
      <x:c r="E7" s="84" t="n">
        <x:f>Assumptions!G14</x:f>
        <x:v>0.88</x:v>
      </x:c>
      <x:c r="F7" s="84" t="n">
        <x:f>B8/(F5*F6)</x:f>
        <x:v>1</x:v>
      </x:c>
      <x:c r="G7" s="84" t="n">
        <x:f>C8/(G5*G6)</x:f>
        <x:v>1</x:v>
      </x:c>
      <x:c r="H7" s="41" t="str">
        <x:v>Share of compute spend that flows to hyperscalers vs owned/non-hyperscaler capacity.</x:v>
      </x:c>
    </x:row>
    <x:row r="8">
      <x:c r="A8" s="52" t="str">
        <x:v>Annual hyperscaler AI service revenue ($B)</x:v>
      </x:c>
      <x:c r="B8" s="83" t="n">
        <x:f>B5*B6*B7</x:f>
        <x:v>19.023999999999997</x:v>
      </x:c>
      <x:c r="C8" s="83" t="n">
        <x:f>C5*C6*C7</x:f>
        <x:v>34.243199999999995</x:v>
      </x:c>
      <x:c r="D8" s="83" t="n">
        <x:f>D5*D6*D7</x:f>
        <x:v>31.05696</x:v>
      </x:c>
      <x:c r="E8" s="83" t="n">
        <x:f>E5*E6*E7</x:f>
        <x:v>50.622844799999996</x:v>
      </x:c>
      <x:c r="F8" s="83" t="n">
        <x:f>B8+D8</x:f>
        <x:v>50.08096</x:v>
      </x:c>
      <x:c r="G8" s="83" t="n">
        <x:f>C8+E8</x:f>
        <x:v>84.8660448</x:v>
      </x:c>
      <x:c r="H8" s="41" t="str">
        <x:v>Revenue opportunity visible to hyperscalers from AI lab demand.</x:v>
      </x:c>
    </x:row>
    <x:row r="9">
      <x:c r="A9" s="52" t="str">
        <x:v>Capex realization factor</x:v>
      </x:c>
      <x:c r="B9" s="84" t="n">
        <x:f>Assumptions!B9</x:f>
        <x:v>0.92</x:v>
      </x:c>
      <x:c r="C9" s="84" t="n">
        <x:f>Assumptions!C9</x:f>
        <x:v>0.9</x:v>
      </x:c>
      <x:c r="D9" s="84" t="n">
        <x:f>Assumptions!B9</x:f>
        <x:v>0.92</x:v>
      </x:c>
      <x:c r="E9" s="84" t="n">
        <x:f>Assumptions!C9</x:f>
        <x:v>0.9</x:v>
      </x:c>
      <x:c r="F9" s="84" t="n">
        <x:f>Assumptions!B9</x:f>
        <x:v>0.92</x:v>
      </x:c>
      <x:c r="G9" s="84" t="n">
        <x:f>Assumptions!C9</x:f>
        <x:v>0.9</x:v>
      </x:c>
      <x:c r="H9" s="41" t="str">
        <x:v>Candidate version adds a margin/utilization haircut.</x:v>
      </x:c>
    </x:row>
    <x:row r="10">
      <x:c r="A10" s="52" t="str">
        <x:v>Capex support multiple</x:v>
      </x:c>
      <x:c r="B10" s="85" t="n">
        <x:f>Assumptions!B8</x:f>
        <x:v>4.5</x:v>
      </x:c>
      <x:c r="C10" s="85" t="n">
        <x:f>Assumptions!C8</x:f>
        <x:v>4.5</x:v>
      </x:c>
      <x:c r="D10" s="85" t="n">
        <x:f>Assumptions!B8</x:f>
        <x:v>4.5</x:v>
      </x:c>
      <x:c r="E10" s="85" t="n">
        <x:f>Assumptions!C8</x:f>
        <x:v>4.5</x:v>
      </x:c>
      <x:c r="F10" s="85" t="n">
        <x:f>Assumptions!B8</x:f>
        <x:v>4.5</x:v>
      </x:c>
      <x:c r="G10" s="85" t="n">
        <x:f>Assumptions!C8</x:f>
        <x:v>4.5</x:v>
      </x:c>
      <x:c r="H10" s="41" t="str">
        <x:v>Contract/payback multiple applied to annual hyperscaler service revenue.</x:v>
      </x:c>
    </x:row>
    <x:row r="11">
      <x:c r="A11" s="52" t="str">
        <x:v>Supportable hyperscaler capex ($B)</x:v>
      </x:c>
      <x:c r="B11" s="83" t="n">
        <x:f>B8*B9*B10</x:f>
        <x:v>78.75936</x:v>
      </x:c>
      <x:c r="C11" s="83" t="n">
        <x:f>C8*C9*C10</x:f>
        <x:v>138.68496</x:v>
      </x:c>
      <x:c r="D11" s="83" t="n">
        <x:f>D8*D9*D10</x:f>
        <x:v>128.5758144</x:v>
      </x:c>
      <x:c r="E11" s="83" t="n">
        <x:f>E8*E9*E10</x:f>
        <x:v>205.02252144</x:v>
      </x:c>
      <x:c r="F11" s="83" t="n">
        <x:f>F8*F9*F10</x:f>
        <x:v>207.33517440000003</x:v>
      </x:c>
      <x:c r="G11" s="83" t="n">
        <x:f>G8*G9*G10</x:f>
        <x:v>343.70748144</x:v>
      </x:c>
      <x:c r="H11" s="41" t="str">
        <x:v>Primary model output.</x:v>
      </x:c>
    </x:row>
    <x:row r="12">
      <x:c r="A12" s="52" t="str">
        <x:v>Hyperscaler capex market ($B)</x:v>
      </x:c>
      <x:c r="B12" s="83" t="n">
        <x:f>Assumptions!B7</x:f>
        <x:v>725</x:v>
      </x:c>
      <x:c r="C12" s="83" t="n">
        <x:f>Assumptions!C7</x:f>
        <x:v>1000</x:v>
      </x:c>
      <x:c r="D12" s="83" t="n">
        <x:f>Assumptions!B7</x:f>
        <x:v>725</x:v>
      </x:c>
      <x:c r="E12" s="83" t="n">
        <x:f>Assumptions!C7</x:f>
        <x:v>1000</x:v>
      </x:c>
      <x:c r="F12" s="83" t="n">
        <x:f>Assumptions!B7</x:f>
        <x:v>725</x:v>
      </x:c>
      <x:c r="G12" s="83" t="n">
        <x:f>Assumptions!C7</x:f>
        <x:v>1000</x:v>
      </x:c>
      <x:c r="H12" s="41" t="str">
        <x:v>Global hyperscaler capex benchmark.</x:v>
      </x:c>
    </x:row>
    <x:row r="13">
      <x:c r="A13" s="52" t="str">
        <x:v>Supported capex / market</x:v>
      </x:c>
      <x:c r="B13" s="84" t="n">
        <x:f>B11/B12</x:f>
        <x:v>0.1086336</x:v>
      </x:c>
      <x:c r="C13" s="84" t="n">
        <x:f>C11/C12</x:f>
        <x:v>0.13868496</x:v>
      </x:c>
      <x:c r="D13" s="84" t="n">
        <x:f>D11/D12</x:f>
        <x:v>0.17734595089655175</x:v>
      </x:c>
      <x:c r="E13" s="84" t="n">
        <x:f>E11/E12</x:f>
        <x:v>0.20502252144</x:v>
      </x:c>
      <x:c r="F13" s="84" t="n">
        <x:f>F11/F12</x:f>
        <x:v>0.28597955089655175</x:v>
      </x:c>
      <x:c r="G13" s="84" t="n">
        <x:f>G11/G12</x:f>
        <x:v>0.34370748143999996</x:v>
      </x:c>
      <x:c r="H13" s="41" t="str">
        <x:v>Supportable capex as a percent of the total market benchmark.</x:v>
      </x:c>
    </x:row>
    <x:row r="14">
      <x:c r="A14" s="52" t="str">
        <x:v>Supported GW equivalent</x:v>
      </x:c>
      <x:c r="B14" s="86" t="n">
        <x:f>B11/Assumptions!B10</x:f>
        <x:v>1.5751872</x:v>
      </x:c>
      <x:c r="C14" s="86" t="n">
        <x:f>C11/Assumptions!C10</x:f>
        <x:v>2.6670184615384613</x:v>
      </x:c>
      <x:c r="D14" s="86" t="n">
        <x:f>D11/Assumptions!B10</x:f>
        <x:v>2.571516288</x:v>
      </x:c>
      <x:c r="E14" s="86" t="n">
        <x:f>E11/Assumptions!C10</x:f>
        <x:v>3.9427407969230766</x:v>
      </x:c>
      <x:c r="F14" s="86" t="n">
        <x:f>F11/Assumptions!B10</x:f>
        <x:v>4.146703488000001</x:v>
      </x:c>
      <x:c r="G14" s="86" t="n">
        <x:f>G11/Assumptions!C10</x:f>
        <x:v>6.609759258461538</x:v>
      </x:c>
      <x:c r="H14" s="41" t="str">
        <x:v>Supportable capex divided by all-in capex per GW equivalent.</x:v>
      </x:c>
    </x:row>
    <x:row r="15">
      <x:c r="A15" s="53" t="str">
        <x:v>Coverage gap to market ($B)</x:v>
      </x:c>
      <x:c r="B15" s="87" t="n">
        <x:f>B12-B11</x:f>
        <x:v>646.24064</x:v>
      </x:c>
      <x:c r="C15" s="87" t="n">
        <x:f>C12-C11</x:f>
        <x:v>861.31504</x:v>
      </x:c>
      <x:c r="D15" s="87" t="n">
        <x:f>D12-D11</x:f>
        <x:v>596.4241856</x:v>
      </x:c>
      <x:c r="E15" s="87" t="n">
        <x:f>E12-E11</x:f>
        <x:v>794.97747856</x:v>
      </x:c>
      <x:c r="F15" s="87" t="n">
        <x:f>F12-F11</x:f>
        <x:v>517.6648256</x:v>
      </x:c>
      <x:c r="G15" s="87" t="n">
        <x:f>G12-G11</x:f>
        <x:v>656.29251856</x:v>
      </x:c>
      <x:c r="H15" s="46" t="str">
        <x:v>Benchmark capex less supportable capex.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99999809265137" hidden="0" customWidth="1"/>
    <x:col min="2" max="2" width="31.899999618530273" hidden="0" customWidth="1"/>
    <x:col min="3" max="3" width="63.189998626708984" hidden="0" customWidth="1"/>
    <x:col min="4" max="4" width="11.65999984741211" hidden="0" customWidth="1"/>
    <x:col min="5" max="5" width="20.25" hidden="0" customWidth="1"/>
    <x:col min="6" max="6" width="79.13999938964844" hidden="0" customWidth="1"/>
  </x:cols>
  <x:sheetData>
    <x:row r="1" ht="26.399999618530273" hidden="0" customHeight="1">
      <x:c r="A1" s="62" t="str">
        <x:v>Source ID</x:v>
      </x:c>
      <x:c r="B1" s="63" t="str">
        <x:v>Item</x:v>
      </x:c>
      <x:c r="C1" s="63" t="str">
        <x:v>Value / fact used</x:v>
      </x:c>
      <x:c r="D1" s="63" t="str">
        <x:v>As-of</x:v>
      </x:c>
      <x:c r="E1" s="63" t="str">
        <x:v>Source</x:v>
      </x:c>
      <x:c r="F1" s="64" t="str">
        <x:v>URL</x:v>
      </x:c>
      <x:c r="G1" s="66"/>
      <x:c r="H1" s="66"/>
      <x:c r="I1" s="66"/>
      <x:c r="J1" s="66"/>
    </x:row>
    <x:row r="2">
      <x:c r="A2" s="39" t="str">
        <x:v>S1</x:v>
      </x:c>
      <x:c r="B2" s="40" t="str">
        <x:v>OpenAI / Anthropic March revenue pace</x:v>
      </x:c>
      <x:c r="C2" s="40" t="str">
        <x:v>OpenAI on pace for $25B revenue in 2026; Anthropic at $19B</x:v>
      </x:c>
      <x:c r="D2" s="40" t="str">
        <x:v>2026-03-18</x:v>
      </x:c>
      <x:c r="E2" s="40" t="str">
        <x:v>Axios</x:v>
      </x:c>
      <x:c r="F2" s="41" t="str">
        <x:v>https://www.axios.com/2026/03/18/ai-enterprise-revenue-anthropic-openai</x:v>
      </x:c>
    </x:row>
    <x:row r="3">
      <x:c r="A3" s="39" t="str">
        <x:v>S2</x:v>
      </x:c>
      <x:c r="B3" s="40" t="str">
        <x:v>Anthropic official compute / revenue update</x:v>
      </x:c>
      <x:c r="C3" s="40" t="str">
        <x:v>Run-rate revenue surpassed $30B; multiple GW of Google/Broadcom TPU capacity starting 2027</x:v>
      </x:c>
      <x:c r="D3" s="40" t="str">
        <x:v>2026-04-06</x:v>
      </x:c>
      <x:c r="E3" s="40" t="str">
        <x:v>Anthropic</x:v>
      </x:c>
      <x:c r="F3" s="41" t="str">
        <x:v>https://www.anthropic.com/news/google-broadcom-partnership-compute</x:v>
      </x:c>
    </x:row>
    <x:row r="4">
      <x:c r="A4" s="39" t="str">
        <x:v>S3</x:v>
      </x:c>
      <x:c r="B4" s="40" t="str">
        <x:v>Anthropic growth context</x:v>
      </x:c>
      <x:c r="C4" s="40" t="str">
        <x:v>Anthropic run-rate revenue passed $30B, up from $19B in early March and $9B at end-2025</x:v>
      </x:c>
      <x:c r="D4" s="40" t="str">
        <x:v>2026-04-13</x:v>
      </x:c>
      <x:c r="E4" s="40" t="str">
        <x:v>Axios</x:v>
      </x:c>
      <x:c r="F4" s="41" t="str">
        <x:v>https://www.axios.com/2026/04/13/anthropic-revenue-growth-ai</x:v>
      </x:c>
    </x:row>
    <x:row r="5">
      <x:c r="A5" s="39" t="str">
        <x:v>S4</x:v>
      </x:c>
      <x:c r="B5" s="40" t="str">
        <x:v>Hyperscaler capex midrange guidance</x:v>
      </x:c>
      <x:c r="C5" s="40" t="str">
        <x:v>2026 hyperscaler capex expected at $610B midrange of company guidance</x:v>
      </x:c>
      <x:c r="D5" s="40" t="str">
        <x:v>2026-02-11</x:v>
      </x:c>
      <x:c r="E5" s="40" t="str">
        <x:v>Axios</x:v>
      </x:c>
      <x:c r="F5" s="41" t="str">
        <x:v>https://www.axios.com/2026/02/11/hyperscaler-spending-meta-microsoft-amazon-google</x:v>
      </x:c>
    </x:row>
    <x:row r="6">
      <x:c r="A6" s="39" t="str">
        <x:v>S5</x:v>
      </x:c>
      <x:c r="B6" s="40" t="str">
        <x:v>Post-Q1 hyperscaler capex plan</x:v>
      </x:c>
      <x:c r="C6" s="40" t="str">
        <x:v>Alphabet, Amazon, Microsoft, and Meta 2026 capex plans reported at $725B</x:v>
      </x:c>
      <x:c r="D6" s="40" t="str">
        <x:v>2026-04-30</x:v>
      </x:c>
      <x:c r="E6" s="40" t="str">
        <x:v>Tom's Hardware / Financial Times</x:v>
      </x:c>
      <x:c r="F6" s="41" t="str">
        <x:v>https://www.tomshardware.com/tech-industry/big-tech/big-techs-ai-spending-plans-reach-725-billion</x:v>
      </x:c>
    </x:row>
    <x:row r="7">
      <x:c r="A7" s="39" t="str">
        <x:v>S6</x:v>
      </x:c>
      <x:c r="B7" s="40" t="str">
        <x:v>AI energy and data center financing</x:v>
      </x:c>
      <x:c r="C7" s="40" t="str">
        <x:v>Hyperscalers could spend $1T+ in 2025-26; power constraints expected around 2027-28</x:v>
      </x:c>
      <x:c r="D7" s="40" t="str">
        <x:v>2026-03-01</x:v>
      </x:c>
      <x:c r="E7" s="40" t="str">
        <x:v>Morgan Stanley</x:v>
      </x:c>
      <x:c r="F7" s="41" t="str">
        <x:v>https://www.morganstanley.com/insights/articles/powering-ai-energy-market-outlook-2026</x:v>
      </x:c>
    </x:row>
    <x:row r="8">
      <x:c r="A8" s="39" t="str">
        <x:v>S7</x:v>
      </x:c>
      <x:c r="B8" s="40" t="str">
        <x:v>Trillion-dollar capex cycle context</x:v>
      </x:c>
      <x:c r="C8" s="40" t="str">
        <x:v>AI capex wave projected to top $1T next year</x:v>
      </x:c>
      <x:c r="D8" s="40" t="str">
        <x:v>2026-05-05</x:v>
      </x:c>
      <x:c r="E8" s="40" t="str">
        <x:v>Axios</x:v>
      </x:c>
      <x:c r="F8" s="41" t="str">
        <x:v>https://www.axios.com/2026/05/05/jamie-dimon-ai-capex-anthropic</x:v>
      </x:c>
    </x:row>
    <x:row r="9">
      <x:c r="A9" s="39"/>
      <x:c r="B9" s="40"/>
      <x:c r="C9" s="40"/>
      <x:c r="D9" s="40"/>
      <x:c r="E9" s="40"/>
      <x:c r="F9" s="41"/>
    </x:row>
    <x:row r="10">
      <x:c r="A10" s="58" t="str">
        <x:v>Caveat</x:v>
      </x:c>
      <x:c r="B10" s="59" t="str">
        <x:v>Run-rate / ARR convention</x:v>
      </x:c>
      <x:c r="C10" s="59" t="str">
        <x:v>Private-company revenue figures are public reports or company statements and are not audited GAAP revenue. Capex support is an illustrative payback proxy, not investment advice.</x:v>
      </x:c>
      <x:c r="D10" s="59" t="str">
        <x:v>2026-05-05</x:v>
      </x:c>
      <x:c r="E10" s="59" t="str">
        <x:v>Model note</x:v>
      </x:c>
      <x:c r="F10" s="6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219999313354492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  <x:col min="5" max="5" width="11.039999961853027" hidden="0" customWidth="1"/>
    <x:col min="6" max="6" width="11.039999961853027" hidden="0" customWidth="1"/>
    <x:col min="7" max="7" width="43.560001373291016" hidden="0" customWidth="1"/>
  </x:cols>
  <x:sheetData>
    <x:row r="1" ht="24" hidden="0" customHeight="1">
      <x:c r="A1" s="61" t="str">
        <x:v>Model checks</x:v>
      </x:c>
      <x:c r="B1" s="61" t="str"/>
      <x:c r="C1" s="61" t="str"/>
      <x:c r="D1" s="61" t="str"/>
      <x:c r="E1" s="61" t="str"/>
      <x:c r="F1" s="61" t="str"/>
      <x:c r="G1" s="61" t="str"/>
      <x:c r="H1" s="61"/>
      <x:c r="I1" s="61"/>
      <x:c r="J1" s="61"/>
      <x:c r="K1" s="6"/>
    </x:row>
    <x:row r="3">
      <x:c r="A3" s="36" t="str">
        <x:v>Check</x:v>
      </x:c>
      <x:c r="B3" s="37" t="str">
        <x:v>Actual</x:v>
      </x:c>
      <x:c r="C3" s="37" t="str">
        <x:v>Expected</x:v>
      </x:c>
      <x:c r="D3" s="37" t="str">
        <x:v>Difference</x:v>
      </x:c>
      <x:c r="E3" s="37" t="str">
        <x:v>Tolerance</x:v>
      </x:c>
      <x:c r="F3" s="37" t="str">
        <x:v>Status</x:v>
      </x:c>
      <x:c r="G3" s="38" t="str">
        <x:v>Notes</x:v>
      </x:c>
    </x:row>
    <x:row r="4">
      <x:c r="A4" s="39" t="str">
        <x:v>Sources table populated</x:v>
      </x:c>
      <x:c r="B4" s="88" t="n">
        <x:f>COUNTA(Sources!A2:F9)</x:f>
        <x:v>42</x:v>
      </x:c>
      <x:c r="C4" s="88" t="n">
        <x:f>42</x:f>
        <x:v>42</x:v>
      </x:c>
      <x:c r="D4" s="88" t="n">
        <x:f>B4-C4</x:f>
        <x:v>0</x:v>
      </x:c>
      <x:c r="E4" s="88" t="n">
        <x:v>0</x:v>
      </x:c>
      <x:c r="F4" s="90" t="str">
        <x:f>IF(B4&gt;=C4,"OK","Check")</x:f>
        <x:v>OK</x:v>
      </x:c>
      <x:c r="G4" s="41" t="str">
        <x:v>Source IDs and URLs are available for public anchors.</x:v>
      </x:c>
    </x:row>
    <x:row r="5">
      <x:c r="A5" s="39" t="str">
        <x:v>2026 support total ties to companies</x:v>
      </x:c>
      <x:c r="B5" s="88" t="n">
        <x:f>Capex_Model!F11</x:f>
        <x:v>207.33517440000003</x:v>
      </x:c>
      <x:c r="C5" s="88" t="n">
        <x:f>Capex_Model!B11+Capex_Model!D11</x:f>
        <x:v>207.33517440000003</x:v>
      </x:c>
      <x:c r="D5" s="88" t="n">
        <x:f>B5-C5</x:f>
        <x:v>0</x:v>
      </x:c>
      <x:c r="E5" s="88" t="n">
        <x:v>0.001</x:v>
      </x:c>
      <x:c r="F5" s="90" t="str">
        <x:f>IF(ABS(D5)&lt;=E5,"OK","Check")</x:f>
        <x:v>OK</x:v>
      </x:c>
      <x:c r="G5" s="41" t="str">
        <x:v>Total supportable capex equals OpenAI plus Anthropic.</x:v>
      </x:c>
    </x:row>
    <x:row r="6">
      <x:c r="A6" s="39" t="str">
        <x:v>2027 support total ties to companies</x:v>
      </x:c>
      <x:c r="B6" s="88" t="n">
        <x:f>Capex_Model!G11</x:f>
        <x:v>343.70748144</x:v>
      </x:c>
      <x:c r="C6" s="88" t="n">
        <x:f>Capex_Model!C11+Capex_Model!E11</x:f>
        <x:v>343.70748144</x:v>
      </x:c>
      <x:c r="D6" s="88" t="n">
        <x:f>B6-C6</x:f>
        <x:v>0</x:v>
      </x:c>
      <x:c r="E6" s="88" t="n">
        <x:v>0.001</x:v>
      </x:c>
      <x:c r="F6" s="90" t="str">
        <x:f>IF(ABS(D6)&lt;=E6,"OK","Check")</x:f>
        <x:v>OK</x:v>
      </x:c>
      <x:c r="G6" s="41" t="str">
        <x:v>Total supportable capex equals OpenAI plus Anthropic.</x:v>
      </x:c>
    </x:row>
    <x:row r="7">
      <x:c r="A7" s="39" t="str">
        <x:v>Market benchmark positive</x:v>
      </x:c>
      <x:c r="B7" s="88" t="n">
        <x:f>MIN(Capex_Model!F12:G12)</x:f>
        <x:v>725</x:v>
      </x:c>
      <x:c r="C7" s="88" t="n">
        <x:f>0</x:f>
        <x:v>0</x:v>
      </x:c>
      <x:c r="D7" s="88" t="n">
        <x:f>B7-C7</x:f>
        <x:v>725</x:v>
      </x:c>
      <x:c r="E7" s="88" t="n">
        <x:v>0</x:v>
      </x:c>
      <x:c r="F7" s="90" t="str">
        <x:f>IF(D7&gt;E7,"OK","Check")</x:f>
        <x:v>OK</x:v>
      </x:c>
      <x:c r="G7" s="41" t="str">
        <x:v>Total hyperscaler capex benchmark must be positive.</x:v>
      </x:c>
    </x:row>
    <x:row r="8">
      <x:c r="A8" s="44" t="str">
        <x:v>Overall model status</x:v>
      </x:c>
      <x:c r="B8" s="89" t="n">
        <x:f>COUNTIF(F4:F7,"OK")</x:f>
        <x:v>4</x:v>
      </x:c>
      <x:c r="C8" s="89" t="n">
        <x:f>4</x:f>
        <x:v>4</x:v>
      </x:c>
      <x:c r="D8" s="89" t="n">
        <x:f>B8-C8</x:f>
        <x:v>0</x:v>
      </x:c>
      <x:c r="E8" s="89" t="n">
        <x:v>0</x:v>
      </x:c>
      <x:c r="F8" s="91" t="str">
        <x:f>IF(B8=C8,"OK","Check")</x:f>
        <x:v>OK</x:v>
      </x:c>
      <x:c r="G8" s="46" t="str">
        <x:v>Aggregates the checks above.</x:v>
      </x:c>
    </x:row>
  </x:sheetData>
  <x:conditionalFormatting sqref="F4:F8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